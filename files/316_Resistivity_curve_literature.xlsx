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07"/>
  <workbookPr/>
  <mc:AlternateContent xmlns:mc="http://schemas.openxmlformats.org/markup-compatibility/2006">
    <mc:Choice Requires="x15">
      <x15ac:absPath xmlns:x15ac="http://schemas.microsoft.com/office/spreadsheetml/2010/11/ac" url="/Users/peterfelfer/Dropbox/research/01 research Erlangen/05 publications/05:01 papers unfinished to write/2025 wire TDS/Data/"/>
    </mc:Choice>
  </mc:AlternateContent>
  <xr:revisionPtr revIDLastSave="0" documentId="13_ncr:1_{A91BA286-9AA2-A846-85EB-AB0F7511A548}" xr6:coauthVersionLast="47" xr6:coauthVersionMax="47" xr10:uidLastSave="{00000000-0000-0000-0000-000000000000}"/>
  <bookViews>
    <workbookView xWindow="1560" yWindow="820" windowWidth="46980" windowHeight="24000" xr2:uid="{544A7367-F5C4-F14F-9007-7FF33CC866F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D13" i="1" s="1"/>
  <c r="B4" i="1"/>
  <c r="B5" i="1"/>
  <c r="B6" i="1"/>
  <c r="B7" i="1"/>
  <c r="B8" i="1"/>
  <c r="B9" i="1"/>
  <c r="B10" i="1"/>
  <c r="B11" i="1"/>
  <c r="B12" i="1"/>
  <c r="B13" i="1"/>
  <c r="B14" i="1"/>
  <c r="B3" i="1"/>
  <c r="D12" i="1" l="1"/>
  <c r="D11" i="1"/>
  <c r="D10" i="1"/>
  <c r="D9" i="1"/>
  <c r="D8" i="1"/>
  <c r="D7" i="1"/>
  <c r="D6" i="1"/>
  <c r="D3" i="1"/>
  <c r="D5" i="1"/>
  <c r="D14" i="1"/>
  <c r="E13" i="1" s="1"/>
  <c r="F13" i="1" s="1"/>
  <c r="D4" i="1"/>
  <c r="E8" i="1" l="1"/>
  <c r="F8" i="1" s="1"/>
  <c r="E9" i="1"/>
  <c r="F9" i="1" s="1"/>
  <c r="E10" i="1"/>
  <c r="F10" i="1" s="1"/>
  <c r="E3" i="1"/>
  <c r="F3" i="1" s="1"/>
  <c r="E11" i="1"/>
  <c r="F11" i="1" s="1"/>
  <c r="E12" i="1"/>
  <c r="F12" i="1" s="1"/>
  <c r="E4" i="1"/>
  <c r="F4" i="1" s="1"/>
  <c r="E5" i="1"/>
  <c r="F5" i="1" s="1"/>
  <c r="E6" i="1"/>
  <c r="F6" i="1" s="1"/>
  <c r="E7" i="1"/>
  <c r="F7" i="1" s="1"/>
</calcChain>
</file>

<file path=xl/sharedStrings.xml><?xml version="1.0" encoding="utf-8"?>
<sst xmlns="http://schemas.openxmlformats.org/spreadsheetml/2006/main" count="9" uniqueCount="9">
  <si>
    <t>temperature [F]</t>
  </si>
  <si>
    <t>temperature [C]</t>
  </si>
  <si>
    <t>specific resistivity [µOhm cm]</t>
  </si>
  <si>
    <t>resistivity</t>
  </si>
  <si>
    <t>T sensitivity [mOhm/K]</t>
  </si>
  <si>
    <t>relative sensitivity [1/K]</t>
  </si>
  <si>
    <t>wire diameter [µm]</t>
  </si>
  <si>
    <t>wire length [mm]</t>
  </si>
  <si>
    <t>cross section [mm2]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</si>
</sst>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resistivity vs</a:t>
            </a:r>
            <a:r>
              <a:rPr lang="en-GB" baseline="0"/>
              <a:t> 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Sheet1!$B$3:$B$14</c:f>
              <c:numCache>
                <c:formatCode>General</c:formatCode>
                <c:ptCount val="12"/>
                <c:pt idx="0">
                  <c:v>-17.777777777777779</c:v>
                </c:pt>
                <c:pt idx="1">
                  <c:v>93.333333333333329</c:v>
                </c:pt>
                <c:pt idx="2">
                  <c:v>204.44444444444443</c:v>
                </c:pt>
                <c:pt idx="3">
                  <c:v>315.55555555555554</c:v>
                </c:pt>
                <c:pt idx="4">
                  <c:v>398.88888888888886</c:v>
                </c:pt>
                <c:pt idx="5">
                  <c:v>426.66666666666663</c:v>
                </c:pt>
                <c:pt idx="6">
                  <c:v>454.44444444444446</c:v>
                </c:pt>
                <c:pt idx="7">
                  <c:v>537.77777777777771</c:v>
                </c:pt>
                <c:pt idx="8">
                  <c:v>648.88888888888891</c:v>
                </c:pt>
                <c:pt idx="9">
                  <c:v>760</c:v>
                </c:pt>
                <c:pt idx="10">
                  <c:v>871.11111111111109</c:v>
                </c:pt>
                <c:pt idx="11">
                  <c:v>982.22222222222217</c:v>
                </c:pt>
              </c:numCache>
            </c:numRef>
          </c:xVal>
          <c:yVal>
            <c:numRef>
              <c:f>Sheet1!$D$3:$D$14</c:f>
              <c:numCache>
                <c:formatCode>General</c:formatCode>
                <c:ptCount val="12"/>
                <c:pt idx="0">
                  <c:v>28.789360817067291</c:v>
                </c:pt>
                <c:pt idx="1">
                  <c:v>31.901724148642135</c:v>
                </c:pt>
                <c:pt idx="2">
                  <c:v>35.014087480216979</c:v>
                </c:pt>
                <c:pt idx="3">
                  <c:v>37.737405395344958</c:v>
                </c:pt>
                <c:pt idx="4">
                  <c:v>39.68263247757924</c:v>
                </c:pt>
                <c:pt idx="5">
                  <c:v>40.071677894026088</c:v>
                </c:pt>
                <c:pt idx="6">
                  <c:v>40.46072331047295</c:v>
                </c:pt>
                <c:pt idx="7">
                  <c:v>42.016904976260371</c:v>
                </c:pt>
                <c:pt idx="8">
                  <c:v>43.573086642047791</c:v>
                </c:pt>
                <c:pt idx="9">
                  <c:v>44.740222891388363</c:v>
                </c:pt>
                <c:pt idx="10">
                  <c:v>45.518313724282073</c:v>
                </c:pt>
                <c:pt idx="11">
                  <c:v>46.685449973622639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49-894B-A984-68F1C6EA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255760"/>
        <c:axId val="1210225487"/>
      </c:scatterChart>
      <c:valAx>
        <c:axId val="36625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10225487"/>
        <c:crossesAt val="0"/>
        <c:crossBetween val="midCat"/>
      </c:valAx>
      <c:valAx>
        <c:axId val="121022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366255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412750</xdr:colOff>
      <xdr:row>18</xdr:row>
      <xdr:rowOff>88900</xdr:rowOff>
    </xdr:from>
    <xdr:to>
      <xdr:col>5</xdr:col>
      <xdr:colOff>361950</xdr:colOff>
      <xdr:row>31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93C4F2-B28E-2738-3CE5-48BC5D845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57F3B-BB78-3643-823A-8CCB2889F6D1}">
  <dimension ref="A2:I14"/>
  <sheetViews>
    <sheetView tabSelected="1" workbookViewId="0">
      <selection activeCell="I4" sqref="I4"/>
    </sheetView>
  </sheetViews>
  <sheetFormatPr defaultColWidth="11" defaultRowHeight="15.95"/>
  <cols>
    <col min="1" max="2" width="13" customWidth="1"/>
    <col min="3" max="3" width="26" customWidth="1"/>
    <col min="5" max="5" width="21.125" customWidth="1"/>
    <col min="6" max="7" width="22" customWidth="1"/>
    <col min="8" max="8" width="19" customWidth="1"/>
    <col min="9" max="9" width="13.625" customWidth="1"/>
  </cols>
  <sheetData>
    <row r="2" spans="1:9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H2" t="s">
        <v>6</v>
      </c>
      <c r="I2" t="s">
        <v>7</v>
      </c>
    </row>
    <row r="3" spans="1:9">
      <c r="A3">
        <v>0</v>
      </c>
      <c r="B3">
        <f>CONVERT(A3,"F","C")</f>
        <v>-17.777777777777779</v>
      </c>
      <c r="C3">
        <v>74</v>
      </c>
      <c r="D3">
        <f>C3/1000000 * 10 *$I$3 /$H$7</f>
        <v>28.789360817067291</v>
      </c>
      <c r="E3">
        <f>(D4-D3)/(A4-A3) *1000</f>
        <v>15.561816657874221</v>
      </c>
      <c r="F3">
        <f>E3/1000 / D3</f>
        <v>5.4054054054054087E-4</v>
      </c>
      <c r="H3">
        <v>60</v>
      </c>
      <c r="I3">
        <v>110</v>
      </c>
    </row>
    <row r="4" spans="1:9">
      <c r="A4">
        <v>200</v>
      </c>
      <c r="B4">
        <f t="shared" ref="B4:B14" si="0">CONVERT(A4,"F","C")</f>
        <v>93.333333333333329</v>
      </c>
      <c r="C4">
        <v>82</v>
      </c>
      <c r="D4">
        <f t="shared" ref="D4:D14" si="1">C4/1000000 * 10 *$I$3 /$H$7</f>
        <v>31.901724148642135</v>
      </c>
      <c r="E4">
        <f t="shared" ref="E4:E13" si="2">(D5-D4)/(A5-A4) *1000</f>
        <v>15.561816657874221</v>
      </c>
      <c r="F4">
        <f t="shared" ref="F4:F13" si="3">E4/1000 / D4</f>
        <v>4.8780487804878076E-4</v>
      </c>
    </row>
    <row r="5" spans="1:9">
      <c r="A5">
        <v>400</v>
      </c>
      <c r="B5">
        <f t="shared" si="0"/>
        <v>204.44444444444443</v>
      </c>
      <c r="C5">
        <v>90</v>
      </c>
      <c r="D5">
        <f t="shared" si="1"/>
        <v>35.014087480216979</v>
      </c>
      <c r="E5">
        <f t="shared" si="2"/>
        <v>13.616589575639892</v>
      </c>
      <c r="F5">
        <f t="shared" si="3"/>
        <v>3.8888888888888762E-4</v>
      </c>
    </row>
    <row r="6" spans="1:9">
      <c r="A6">
        <v>600</v>
      </c>
      <c r="B6">
        <f t="shared" si="0"/>
        <v>315.55555555555554</v>
      </c>
      <c r="C6">
        <v>97</v>
      </c>
      <c r="D6">
        <f t="shared" si="1"/>
        <v>37.737405395344958</v>
      </c>
      <c r="E6">
        <f t="shared" si="2"/>
        <v>12.968180548228551</v>
      </c>
      <c r="F6">
        <f t="shared" si="3"/>
        <v>3.4364261168384991E-4</v>
      </c>
      <c r="H6" t="s">
        <v>8</v>
      </c>
    </row>
    <row r="7" spans="1:9">
      <c r="A7">
        <v>750</v>
      </c>
      <c r="B7">
        <f t="shared" si="0"/>
        <v>398.88888888888886</v>
      </c>
      <c r="C7">
        <v>102</v>
      </c>
      <c r="D7">
        <f t="shared" si="1"/>
        <v>39.68263247757924</v>
      </c>
      <c r="E7">
        <f t="shared" si="2"/>
        <v>7.7809083289369596</v>
      </c>
      <c r="F7">
        <f t="shared" si="3"/>
        <v>1.9607843137254533E-4</v>
      </c>
      <c r="H7">
        <f>(H3/1000)^2 * PI() /4</f>
        <v>2.8274333882308137E-3</v>
      </c>
    </row>
    <row r="8" spans="1:9">
      <c r="A8">
        <v>800</v>
      </c>
      <c r="B8">
        <f t="shared" si="0"/>
        <v>426.66666666666663</v>
      </c>
      <c r="C8">
        <v>103</v>
      </c>
      <c r="D8">
        <f t="shared" si="1"/>
        <v>40.071677894026088</v>
      </c>
      <c r="E8">
        <f t="shared" si="2"/>
        <v>7.7809083289372438</v>
      </c>
      <c r="F8">
        <f t="shared" si="3"/>
        <v>1.9417475728155688E-4</v>
      </c>
    </row>
    <row r="9" spans="1:9">
      <c r="A9">
        <v>850</v>
      </c>
      <c r="B9">
        <f t="shared" si="0"/>
        <v>454.44444444444446</v>
      </c>
      <c r="C9">
        <v>104</v>
      </c>
      <c r="D9">
        <f t="shared" si="1"/>
        <v>40.46072331047295</v>
      </c>
      <c r="E9">
        <f t="shared" si="2"/>
        <v>10.374544438582802</v>
      </c>
      <c r="F9">
        <f t="shared" si="3"/>
        <v>2.5641025641025625E-4</v>
      </c>
    </row>
    <row r="10" spans="1:9">
      <c r="A10">
        <v>1000</v>
      </c>
      <c r="B10">
        <f t="shared" si="0"/>
        <v>537.77777777777771</v>
      </c>
      <c r="C10">
        <v>108</v>
      </c>
      <c r="D10">
        <f t="shared" si="1"/>
        <v>42.016904976260371</v>
      </c>
      <c r="E10">
        <f t="shared" si="2"/>
        <v>7.7809083289371017</v>
      </c>
      <c r="F10">
        <f t="shared" si="3"/>
        <v>1.8518518518518509E-4</v>
      </c>
    </row>
    <row r="11" spans="1:9">
      <c r="A11">
        <v>1200</v>
      </c>
      <c r="B11">
        <f t="shared" si="0"/>
        <v>648.88888888888891</v>
      </c>
      <c r="C11">
        <v>112</v>
      </c>
      <c r="D11">
        <f t="shared" si="1"/>
        <v>43.573086642047791</v>
      </c>
      <c r="E11">
        <f t="shared" si="2"/>
        <v>5.8356812467028618</v>
      </c>
      <c r="F11">
        <f t="shared" si="3"/>
        <v>1.3392857142857217E-4</v>
      </c>
    </row>
    <row r="12" spans="1:9">
      <c r="A12">
        <v>1400</v>
      </c>
      <c r="B12">
        <f t="shared" si="0"/>
        <v>760</v>
      </c>
      <c r="C12">
        <v>115</v>
      </c>
      <c r="D12">
        <f t="shared" si="1"/>
        <v>44.740222891388363</v>
      </c>
      <c r="E12">
        <f t="shared" si="2"/>
        <v>3.8904541644685509</v>
      </c>
      <c r="F12">
        <f t="shared" si="3"/>
        <v>8.6956521739130387E-5</v>
      </c>
    </row>
    <row r="13" spans="1:9">
      <c r="A13">
        <v>1600</v>
      </c>
      <c r="B13">
        <f t="shared" si="0"/>
        <v>871.11111111111109</v>
      </c>
      <c r="C13">
        <v>117</v>
      </c>
      <c r="D13">
        <f t="shared" si="1"/>
        <v>45.518313724282073</v>
      </c>
      <c r="E13">
        <f t="shared" si="2"/>
        <v>5.8356812467028263</v>
      </c>
      <c r="F13">
        <f t="shared" si="3"/>
        <v>1.2820512820512812E-4</v>
      </c>
    </row>
    <row r="14" spans="1:9">
      <c r="A14">
        <v>1800</v>
      </c>
      <c r="B14">
        <f t="shared" si="0"/>
        <v>982.22222222222217</v>
      </c>
      <c r="C14">
        <v>120</v>
      </c>
      <c r="D14">
        <f t="shared" si="1"/>
        <v>46.685449973622639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yl19ebuw</dc:creator>
  <cp:keywords/>
  <dc:description/>
  <cp:lastModifiedBy>Gastbenutzer</cp:lastModifiedBy>
  <cp:revision/>
  <dcterms:created xsi:type="dcterms:W3CDTF">2025-01-13T16:02:49Z</dcterms:created>
  <dcterms:modified xsi:type="dcterms:W3CDTF">2025-01-15T13:53:23Z</dcterms:modified>
  <cp:category/>
  <cp:contentStatus/>
</cp:coreProperties>
</file>