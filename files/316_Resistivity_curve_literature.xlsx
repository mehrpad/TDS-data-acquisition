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DS\PycharmProjects\TDS_data_acquisition\files\"/>
    </mc:Choice>
  </mc:AlternateContent>
  <bookViews>
    <workbookView xWindow="1560" yWindow="825" windowWidth="46980" windowHeight="24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H8" i="1" l="1"/>
  <c r="B5" i="1"/>
  <c r="B6" i="1"/>
  <c r="B7" i="1"/>
  <c r="B8" i="1"/>
  <c r="B9" i="1"/>
  <c r="B10" i="1"/>
  <c r="B11" i="1"/>
  <c r="B12" i="1"/>
  <c r="B13" i="1"/>
  <c r="B14" i="1"/>
  <c r="B15" i="1"/>
  <c r="B3" i="1"/>
  <c r="D14" i="1" l="1"/>
  <c r="D4" i="1"/>
  <c r="D13" i="1"/>
  <c r="D12" i="1"/>
  <c r="D11" i="1"/>
  <c r="D10" i="1"/>
  <c r="D9" i="1"/>
  <c r="D8" i="1"/>
  <c r="D7" i="1"/>
  <c r="D3" i="1"/>
  <c r="D6" i="1"/>
  <c r="D15" i="1"/>
  <c r="D5" i="1"/>
  <c r="E4" i="1" l="1"/>
  <c r="F4" i="1" s="1"/>
  <c r="E3" i="1"/>
  <c r="F3" i="1" s="1"/>
  <c r="E14" i="1"/>
  <c r="F14" i="1" s="1"/>
  <c r="E9" i="1"/>
  <c r="F9" i="1" s="1"/>
  <c r="E10" i="1"/>
  <c r="F10" i="1" s="1"/>
  <c r="E11" i="1"/>
  <c r="F11" i="1" s="1"/>
  <c r="E12" i="1"/>
  <c r="F12" i="1" s="1"/>
  <c r="E13" i="1"/>
  <c r="F13" i="1" s="1"/>
  <c r="E5" i="1"/>
  <c r="F5" i="1" s="1"/>
  <c r="E6" i="1"/>
  <c r="F6" i="1" s="1"/>
  <c r="E7" i="1"/>
  <c r="F7" i="1" s="1"/>
  <c r="E8" i="1"/>
  <c r="F8" i="1" s="1"/>
</calcChain>
</file>

<file path=xl/sharedStrings.xml><?xml version="1.0" encoding="utf-8"?>
<sst xmlns="http://schemas.openxmlformats.org/spreadsheetml/2006/main" count="9" uniqueCount="9">
  <si>
    <t>temperature [F]</t>
  </si>
  <si>
    <t>temperature [C]</t>
  </si>
  <si>
    <t>specific resistivity [µOhm cm]</t>
  </si>
  <si>
    <t>resistivity</t>
  </si>
  <si>
    <t>T sensitivity [mOhm/K]</t>
  </si>
  <si>
    <t>relative sensitivity [1/K]</t>
  </si>
  <si>
    <t>wire diameter [µm]</t>
  </si>
  <si>
    <t>wire length [mm]</t>
  </si>
  <si>
    <t>cross section [mm2]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</si>
</sst>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resistivity vs</a:t>
            </a:r>
            <a:r>
              <a:rPr lang="en-GB" baseline="0"/>
              <a:t> T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Sheet1!$B$3:$B$15</c:f>
              <c:numCache>
                <c:formatCode>General</c:formatCode>
                <c:ptCount val="13"/>
                <c:pt idx="0">
                  <c:v>-17.777777777777779</c:v>
                </c:pt>
                <c:pt idx="1">
                  <c:v>25</c:v>
                </c:pt>
                <c:pt idx="2">
                  <c:v>93.333333333333329</c:v>
                </c:pt>
                <c:pt idx="3">
                  <c:v>204.44444444444443</c:v>
                </c:pt>
                <c:pt idx="4">
                  <c:v>315.55555555555554</c:v>
                </c:pt>
                <c:pt idx="5">
                  <c:v>398.88888888888886</c:v>
                </c:pt>
                <c:pt idx="6">
                  <c:v>426.66666666666663</c:v>
                </c:pt>
                <c:pt idx="7">
                  <c:v>454.44444444444446</c:v>
                </c:pt>
                <c:pt idx="8">
                  <c:v>537.77777777777771</c:v>
                </c:pt>
                <c:pt idx="9">
                  <c:v>648.88888888888891</c:v>
                </c:pt>
                <c:pt idx="10">
                  <c:v>760</c:v>
                </c:pt>
                <c:pt idx="11">
                  <c:v>871.11111111111109</c:v>
                </c:pt>
                <c:pt idx="12">
                  <c:v>982.22222222222217</c:v>
                </c:pt>
              </c:numCache>
            </c:numRef>
          </c:xVal>
          <c:yVal>
            <c:numRef>
              <c:f>Sheet1!$D$3:$D$15</c:f>
              <c:numCache>
                <c:formatCode>General</c:formatCode>
                <c:ptCount val="13"/>
                <c:pt idx="0">
                  <c:v>37.687890524160814</c:v>
                </c:pt>
                <c:pt idx="1">
                  <c:v>39.725073795737075</c:v>
                </c:pt>
                <c:pt idx="2">
                  <c:v>41.762257067313335</c:v>
                </c:pt>
                <c:pt idx="3">
                  <c:v>45.836623610465857</c:v>
                </c:pt>
                <c:pt idx="4">
                  <c:v>49.401694335724301</c:v>
                </c:pt>
                <c:pt idx="5">
                  <c:v>51.948173425194639</c:v>
                </c:pt>
                <c:pt idx="6">
                  <c:v>52.457469243088696</c:v>
                </c:pt>
                <c:pt idx="7">
                  <c:v>52.966765060982766</c:v>
                </c:pt>
                <c:pt idx="8">
                  <c:v>55.003948332559027</c:v>
                </c:pt>
                <c:pt idx="9">
                  <c:v>57.04113160413528</c:v>
                </c:pt>
                <c:pt idx="10">
                  <c:v>58.569019057817478</c:v>
                </c:pt>
                <c:pt idx="11">
                  <c:v>59.587610693605612</c:v>
                </c:pt>
                <c:pt idx="12">
                  <c:v>61.115498147287809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49-894B-A984-68F1C6EAA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255760"/>
        <c:axId val="1210225487"/>
      </c:scatterChart>
      <c:valAx>
        <c:axId val="36625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10225487"/>
        <c:crossesAt val="0"/>
        <c:crossBetween val="midCat"/>
      </c:valAx>
      <c:valAx>
        <c:axId val="121022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66255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412750</xdr:colOff>
      <xdr:row>19</xdr:row>
      <xdr:rowOff>88900</xdr:rowOff>
    </xdr:from>
    <xdr:to>
      <xdr:col>5</xdr:col>
      <xdr:colOff>361950</xdr:colOff>
      <xdr:row>32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93C4F2-B28E-2738-3CE5-48BC5D845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5"/>
  <sheetViews>
    <sheetView tabSelected="1" workbookViewId="0">
      <selection activeCell="I5" sqref="I5"/>
    </sheetView>
  </sheetViews>
  <sheetFormatPr baseColWidth="10" defaultColWidth="11" defaultRowHeight="15"/>
  <cols>
    <col min="1" max="2" width="13" customWidth="1"/>
    <col min="3" max="3" width="26" customWidth="1"/>
    <col min="5" max="5" width="21.109375" customWidth="1"/>
    <col min="6" max="7" width="22" customWidth="1"/>
    <col min="8" max="8" width="19" customWidth="1"/>
    <col min="9" max="9" width="13.6640625" customWidth="1"/>
  </cols>
  <sheetData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6</v>
      </c>
      <c r="I2" t="s">
        <v>7</v>
      </c>
    </row>
    <row r="3" spans="1:9">
      <c r="A3">
        <v>0</v>
      </c>
      <c r="B3">
        <f>CONVERT(A3,"F","C")</f>
        <v>-17.777777777777779</v>
      </c>
      <c r="C3">
        <v>74</v>
      </c>
      <c r="D3">
        <f t="shared" ref="D3:D15" si="0">C3/1000000 * 10 *$I$3 /$H$8</f>
        <v>37.687890524160814</v>
      </c>
      <c r="E3">
        <f>(D5-D3)/(A5-A3) *1000</f>
        <v>20.371832715762608</v>
      </c>
      <c r="F3">
        <f>E3/1000 / D3</f>
        <v>5.4054054054054066E-4</v>
      </c>
      <c r="H3">
        <v>50</v>
      </c>
      <c r="I3">
        <v>100</v>
      </c>
    </row>
    <row r="4" spans="1:9">
      <c r="A4">
        <v>77</v>
      </c>
      <c r="B4">
        <f>CONVERT(A4,"F","C")</f>
        <v>25</v>
      </c>
      <c r="C4">
        <v>78</v>
      </c>
      <c r="D4">
        <f t="shared" si="0"/>
        <v>39.725073795737075</v>
      </c>
      <c r="E4">
        <f>(D6-D4)/(A6-A4) *1000</f>
        <v>18.921206856745457</v>
      </c>
      <c r="F4">
        <f>E4/1000 / D4</f>
        <v>4.7630388187663739E-4</v>
      </c>
    </row>
    <row r="5" spans="1:9">
      <c r="A5">
        <v>200</v>
      </c>
      <c r="B5">
        <f t="shared" ref="B5:B15" si="1">CONVERT(A5,"F","C")</f>
        <v>93.333333333333329</v>
      </c>
      <c r="C5">
        <v>82</v>
      </c>
      <c r="D5">
        <f t="shared" si="0"/>
        <v>41.762257067313335</v>
      </c>
      <c r="E5">
        <f t="shared" ref="E5:E14" si="2">(D6-D5)/(A6-A5) *1000</f>
        <v>20.371832715762608</v>
      </c>
      <c r="F5">
        <f t="shared" ref="F5:F14" si="3">E5/1000 / D5</f>
        <v>4.8780487804878065E-4</v>
      </c>
    </row>
    <row r="6" spans="1:9">
      <c r="A6">
        <v>400</v>
      </c>
      <c r="B6">
        <f t="shared" si="1"/>
        <v>204.44444444444443</v>
      </c>
      <c r="C6">
        <v>90</v>
      </c>
      <c r="D6">
        <f t="shared" si="0"/>
        <v>45.836623610465857</v>
      </c>
      <c r="E6">
        <f t="shared" si="2"/>
        <v>17.82535362629222</v>
      </c>
      <c r="F6">
        <f t="shared" si="3"/>
        <v>3.8888888888888757E-4</v>
      </c>
    </row>
    <row r="7" spans="1:9">
      <c r="A7">
        <v>600</v>
      </c>
      <c r="B7">
        <f t="shared" si="1"/>
        <v>315.55555555555554</v>
      </c>
      <c r="C7">
        <v>97</v>
      </c>
      <c r="D7">
        <f t="shared" si="0"/>
        <v>49.401694335724301</v>
      </c>
      <c r="E7">
        <f t="shared" si="2"/>
        <v>16.976527263135587</v>
      </c>
      <c r="F7">
        <f t="shared" si="3"/>
        <v>3.4364261168385061E-4</v>
      </c>
      <c r="H7" t="s">
        <v>8</v>
      </c>
    </row>
    <row r="8" spans="1:9">
      <c r="A8">
        <v>750</v>
      </c>
      <c r="B8">
        <f t="shared" si="1"/>
        <v>398.88888888888886</v>
      </c>
      <c r="C8">
        <v>102</v>
      </c>
      <c r="D8">
        <f t="shared" si="0"/>
        <v>51.948173425194639</v>
      </c>
      <c r="E8">
        <f t="shared" si="2"/>
        <v>10.185916357881126</v>
      </c>
      <c r="F8">
        <f t="shared" si="3"/>
        <v>1.9607843137254562E-4</v>
      </c>
      <c r="H8">
        <f>(H3/1000)^2 * PI() /4</f>
        <v>1.9634954084936209E-3</v>
      </c>
    </row>
    <row r="9" spans="1:9">
      <c r="A9">
        <v>800</v>
      </c>
      <c r="B9">
        <f t="shared" si="1"/>
        <v>426.66666666666663</v>
      </c>
      <c r="C9">
        <v>103</v>
      </c>
      <c r="D9">
        <f t="shared" si="0"/>
        <v>52.457469243088696</v>
      </c>
      <c r="E9">
        <f t="shared" si="2"/>
        <v>10.18591635788141</v>
      </c>
      <c r="F9">
        <f t="shared" si="3"/>
        <v>1.941747572815555E-4</v>
      </c>
    </row>
    <row r="10" spans="1:9">
      <c r="A10">
        <v>850</v>
      </c>
      <c r="B10">
        <f t="shared" si="1"/>
        <v>454.44444444444446</v>
      </c>
      <c r="C10">
        <v>104</v>
      </c>
      <c r="D10">
        <f t="shared" si="0"/>
        <v>52.966765060982766</v>
      </c>
      <c r="E10">
        <f t="shared" si="2"/>
        <v>13.581221810508405</v>
      </c>
      <c r="F10">
        <f t="shared" si="3"/>
        <v>2.5641025641025646E-4</v>
      </c>
    </row>
    <row r="11" spans="1:9">
      <c r="A11">
        <v>1000</v>
      </c>
      <c r="B11">
        <f t="shared" si="1"/>
        <v>537.77777777777771</v>
      </c>
      <c r="C11">
        <v>108</v>
      </c>
      <c r="D11">
        <f t="shared" si="0"/>
        <v>55.003948332559027</v>
      </c>
      <c r="E11">
        <f t="shared" si="2"/>
        <v>10.185916357881268</v>
      </c>
      <c r="F11">
        <f t="shared" si="3"/>
        <v>1.8518518518518458E-4</v>
      </c>
    </row>
    <row r="12" spans="1:9">
      <c r="A12">
        <v>1200</v>
      </c>
      <c r="B12">
        <f t="shared" si="1"/>
        <v>648.88888888888891</v>
      </c>
      <c r="C12">
        <v>112</v>
      </c>
      <c r="D12">
        <f t="shared" si="0"/>
        <v>57.04113160413528</v>
      </c>
      <c r="E12">
        <f t="shared" si="2"/>
        <v>7.6394372684109868</v>
      </c>
      <c r="F12">
        <f t="shared" si="3"/>
        <v>1.3392857142857162E-4</v>
      </c>
    </row>
    <row r="13" spans="1:9">
      <c r="A13">
        <v>1400</v>
      </c>
      <c r="B13">
        <f t="shared" si="1"/>
        <v>760</v>
      </c>
      <c r="C13">
        <v>115</v>
      </c>
      <c r="D13">
        <f t="shared" si="0"/>
        <v>58.569019057817478</v>
      </c>
      <c r="E13">
        <f t="shared" si="2"/>
        <v>5.0929581789406697</v>
      </c>
      <c r="F13">
        <f t="shared" si="3"/>
        <v>8.6956521739130766E-5</v>
      </c>
    </row>
    <row r="14" spans="1:9">
      <c r="A14">
        <v>1600</v>
      </c>
      <c r="B14">
        <f t="shared" si="1"/>
        <v>871.11111111111109</v>
      </c>
      <c r="C14">
        <v>117</v>
      </c>
      <c r="D14">
        <f t="shared" si="0"/>
        <v>59.587610693605612</v>
      </c>
      <c r="E14">
        <f t="shared" si="2"/>
        <v>7.6394372684109868</v>
      </c>
      <c r="F14">
        <f t="shared" si="3"/>
        <v>1.2820512820512839E-4</v>
      </c>
    </row>
    <row r="15" spans="1:9">
      <c r="A15">
        <v>1800</v>
      </c>
      <c r="B15">
        <f t="shared" si="1"/>
        <v>982.22222222222217</v>
      </c>
      <c r="C15">
        <v>120</v>
      </c>
      <c r="D15">
        <f t="shared" si="0"/>
        <v>61.115498147287809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yl19ebuw</dc:creator>
  <cp:keywords/>
  <dc:description/>
  <cp:lastModifiedBy>TDS</cp:lastModifiedBy>
  <cp:revision/>
  <dcterms:created xsi:type="dcterms:W3CDTF">2025-01-13T16:02:49Z</dcterms:created>
  <dcterms:modified xsi:type="dcterms:W3CDTF">2025-03-27T12:51:32Z</dcterms:modified>
  <cp:category/>
  <cp:contentStatus/>
</cp:coreProperties>
</file>