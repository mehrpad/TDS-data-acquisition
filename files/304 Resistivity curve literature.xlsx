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DS\PycharmProjects\TDS_data_acquisition\files\"/>
    </mc:Choice>
  </mc:AlternateContent>
  <xr:revisionPtr revIDLastSave="0" documentId="13_ncr:1_{CC3ECA73-CC63-4C8F-8B8A-B3B06E75B1B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  <c r="D6" i="1" l="1"/>
  <c r="D8" i="1"/>
  <c r="D9" i="1"/>
  <c r="D4" i="1"/>
  <c r="D3" i="1"/>
  <c r="D5" i="1"/>
  <c r="D7" i="1"/>
</calcChain>
</file>

<file path=xl/sharedStrings.xml><?xml version="1.0" encoding="utf-8"?>
<sst xmlns="http://schemas.openxmlformats.org/spreadsheetml/2006/main" count="9" uniqueCount="9">
  <si>
    <t>temperature [F]</t>
  </si>
  <si>
    <t>temperature [C]</t>
  </si>
  <si>
    <t>resistivity</t>
  </si>
  <si>
    <t>T sensitivity [mOhm/K]</t>
  </si>
  <si>
    <t>relative sensitivity [1/K]</t>
  </si>
  <si>
    <t>wire diameter [µm]</t>
  </si>
  <si>
    <t>wire length [mm]</t>
  </si>
  <si>
    <t>specific resistivity [10-8 Ohm m]</t>
  </si>
  <si>
    <t>cross section [m2]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</si>
</sst>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resistivity vs</a:t>
            </a:r>
            <a:r>
              <a:rPr lang="en-GB" baseline="0"/>
              <a:t> 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Sheet1!$B$3:$B$14</c:f>
              <c:numCache>
                <c:formatCode>General</c:formatCode>
                <c:ptCount val="12"/>
                <c:pt idx="0">
                  <c:v>-272.14999999999998</c:v>
                </c:pt>
                <c:pt idx="1">
                  <c:v>-173.15</c:v>
                </c:pt>
                <c:pt idx="2">
                  <c:v>19.850000000000001</c:v>
                </c:pt>
                <c:pt idx="3">
                  <c:v>226.85</c:v>
                </c:pt>
                <c:pt idx="4">
                  <c:v>726.85</c:v>
                </c:pt>
                <c:pt idx="5">
                  <c:v>1226.8499999999999</c:v>
                </c:pt>
                <c:pt idx="6">
                  <c:v>1395.85</c:v>
                </c:pt>
              </c:numCache>
            </c:numRef>
          </c:xVal>
          <c:yVal>
            <c:numRef>
              <c:f>Sheet1!$D$3:$D$14</c:f>
              <c:numCache>
                <c:formatCode>General</c:formatCode>
                <c:ptCount val="12"/>
                <c:pt idx="0">
                  <c:v>0.89197503661724464</c:v>
                </c:pt>
                <c:pt idx="1">
                  <c:v>0.96002261673031308</c:v>
                </c:pt>
                <c:pt idx="2">
                  <c:v>1.3112952600166918</c:v>
                </c:pt>
                <c:pt idx="3">
                  <c:v>1.5963594469768421</c:v>
                </c:pt>
                <c:pt idx="4">
                  <c:v>2.0690142601946397</c:v>
                </c:pt>
                <c:pt idx="5">
                  <c:v>2.3246524665653552</c:v>
                </c:pt>
                <c:pt idx="6">
                  <c:v>2.3982174180389428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9-894B-A984-68F1C6EAA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255760"/>
        <c:axId val="1210225487"/>
      </c:scatterChart>
      <c:valAx>
        <c:axId val="36625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10225487"/>
        <c:crossesAt val="0"/>
        <c:crossBetween val="midCat"/>
      </c:valAx>
      <c:valAx>
        <c:axId val="121022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66255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412750</xdr:colOff>
      <xdr:row>18</xdr:row>
      <xdr:rowOff>88900</xdr:rowOff>
    </xdr:from>
    <xdr:to>
      <xdr:col>5</xdr:col>
      <xdr:colOff>361950</xdr:colOff>
      <xdr:row>31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93C4F2-B28E-2738-3CE5-48BC5D845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"/>
  <sheetViews>
    <sheetView tabSelected="1" workbookViewId="0">
      <selection activeCell="I6" sqref="I6"/>
    </sheetView>
  </sheetViews>
  <sheetFormatPr baseColWidth="10" defaultColWidth="11" defaultRowHeight="15"/>
  <cols>
    <col min="1" max="2" width="13" customWidth="1"/>
    <col min="3" max="3" width="26" customWidth="1"/>
    <col min="5" max="5" width="21.109375" customWidth="1"/>
    <col min="6" max="7" width="22" customWidth="1"/>
    <col min="8" max="8" width="19" customWidth="1"/>
    <col min="9" max="9" width="13.6640625" customWidth="1"/>
  </cols>
  <sheetData>
    <row r="2" spans="1:9">
      <c r="A2" t="s">
        <v>0</v>
      </c>
      <c r="B2" t="s">
        <v>1</v>
      </c>
      <c r="C2" t="s">
        <v>7</v>
      </c>
      <c r="D2" t="s">
        <v>2</v>
      </c>
      <c r="E2" t="s">
        <v>3</v>
      </c>
      <c r="F2" t="s">
        <v>4</v>
      </c>
      <c r="H2" t="s">
        <v>5</v>
      </c>
      <c r="I2" t="s">
        <v>6</v>
      </c>
    </row>
    <row r="3" spans="1:9">
      <c r="B3">
        <v>-272.14999999999998</v>
      </c>
      <c r="C3">
        <v>48.5</v>
      </c>
      <c r="D3">
        <f>(C3/100000000)  * ($I$3/1000) /$H$7</f>
        <v>0.89197503661724464</v>
      </c>
      <c r="H3">
        <v>300</v>
      </c>
      <c r="I3">
        <v>130</v>
      </c>
    </row>
    <row r="4" spans="1:9">
      <c r="B4">
        <v>-173.15</v>
      </c>
      <c r="C4">
        <v>52.2</v>
      </c>
      <c r="D4">
        <f t="shared" ref="D4:D9" si="0">(C4/100000000)  * ($I$3/1000) /$H$7</f>
        <v>0.96002261673031308</v>
      </c>
    </row>
    <row r="5" spans="1:9">
      <c r="B5">
        <v>19.850000000000001</v>
      </c>
      <c r="C5">
        <v>71.3</v>
      </c>
      <c r="D5">
        <f t="shared" si="0"/>
        <v>1.3112952600166918</v>
      </c>
    </row>
    <row r="6" spans="1:9">
      <c r="B6">
        <v>226.85</v>
      </c>
      <c r="C6">
        <v>86.8</v>
      </c>
      <c r="D6">
        <f t="shared" si="0"/>
        <v>1.5963594469768421</v>
      </c>
      <c r="H6" t="s">
        <v>8</v>
      </c>
    </row>
    <row r="7" spans="1:9">
      <c r="B7">
        <v>726.85</v>
      </c>
      <c r="C7">
        <v>112.5</v>
      </c>
      <c r="D7">
        <f t="shared" si="0"/>
        <v>2.0690142601946397</v>
      </c>
      <c r="H7">
        <f>(H3/1000000)^2 * PI() /4</f>
        <v>7.0685834705770333E-8</v>
      </c>
    </row>
    <row r="8" spans="1:9">
      <c r="B8">
        <v>1226.8499999999999</v>
      </c>
      <c r="C8">
        <v>126.4</v>
      </c>
      <c r="D8">
        <f t="shared" si="0"/>
        <v>2.3246524665653552</v>
      </c>
    </row>
    <row r="9" spans="1:9">
      <c r="B9">
        <v>1395.85</v>
      </c>
      <c r="C9">
        <v>130.4</v>
      </c>
      <c r="D9">
        <f t="shared" si="0"/>
        <v>2.3982174180389428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yl19ebuw</dc:creator>
  <cp:keywords/>
  <dc:description/>
  <cp:lastModifiedBy>TDS</cp:lastModifiedBy>
  <cp:revision/>
  <dcterms:created xsi:type="dcterms:W3CDTF">2025-01-13T16:02:49Z</dcterms:created>
  <dcterms:modified xsi:type="dcterms:W3CDTF">2026-03-26T11:47:46Z</dcterms:modified>
  <cp:category/>
  <cp:contentStatus/>
</cp:coreProperties>
</file>